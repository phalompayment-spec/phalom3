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 ລ້ານ ໄປໃສ" sheetId="1" state="visible" r:id="rId1"/>
    <sheet xmlns:r="http://schemas.openxmlformats.org/officeDocument/2006/relationships" name="ສົມມຸດຕິຖານ" sheetId="2" state="visible" r:id="rId2"/>
    <sheet xmlns:r="http://schemas.openxmlformats.org/officeDocument/2006/relationships" name="ລາຍຈ່າຍ" sheetId="3" state="visible" r:id="rId3"/>
    <sheet xmlns:r="http://schemas.openxmlformats.org/officeDocument/2006/relationships" name="ກຳໄລ-ຂາດທຶນ" sheetId="4" state="visible" r:id="rId4"/>
    <sheet xmlns:r="http://schemas.openxmlformats.org/officeDocument/2006/relationships" name="ແຫຼ່ງຂໍ້ມູ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Noto Sans Lao"/>
      <b val="1"/>
      <sz val="14"/>
    </font>
    <font>
      <name val="Noto Sans Lao"/>
    </font>
    <font>
      <name val="Noto Sans Lao"/>
      <b val="1"/>
    </font>
    <font>
      <name val="Noto Sans Lao"/>
      <b val="1"/>
      <color rgb="00FFFFFF"/>
    </font>
    <font>
      <name val="Noto Sans Lao"/>
      <sz val="10"/>
    </font>
    <font>
      <name val="Noto Sans Lao"/>
      <i val="1"/>
      <sz val="10"/>
    </font>
    <font>
      <color rgb="003355CC"/>
      <u val="single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E2350"/>
      </patternFill>
    </fill>
    <fill>
      <patternFill patternType="solid">
        <fgColor rgb="00EDEBFA"/>
      </patternFill>
    </fill>
  </fills>
  <borders count="2">
    <border>
      <left/>
      <right/>
      <top/>
      <bottom/>
      <diagonal/>
    </border>
    <border>
      <left style="thin">
        <color rgb="00C9C6E0"/>
      </left>
      <right style="thin">
        <color rgb="00C9C6E0"/>
      </right>
      <top style="thin">
        <color rgb="00C9C6E0"/>
      </top>
      <bottom style="thin">
        <color rgb="00C9C6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3" fontId="3" fillId="4" borderId="0" pivotButton="0" quotePrefix="0" xfId="0"/>
    <xf numFmtId="9" fontId="3" fillId="4" borderId="0" pivotButton="0" quotePrefix="0" xfId="0"/>
    <xf numFmtId="0" fontId="6" fillId="0" borderId="0" pivotButton="0" quotePrefix="0" xfId="0"/>
    <xf numFmtId="3" fontId="3" fillId="2" borderId="1" pivotButton="0" quotePrefix="0" xfId="0"/>
    <xf numFmtId="164" fontId="3" fillId="2" borderId="1" pivotButton="0" quotePrefix="0" xfId="0"/>
    <xf numFmtId="9" fontId="3" fillId="2" borderId="1" pivotButton="0" quotePrefix="0" xfId="0"/>
    <xf numFmtId="3" fontId="3" fillId="0" borderId="1" pivotButton="0" quotePrefix="0" xfId="0"/>
    <xf numFmtId="0" fontId="3" fillId="2" borderId="1" pivotButton="0" quotePrefix="0" xfId="0"/>
    <xf numFmtId="0" fontId="4" fillId="3" borderId="0" applyAlignment="1" pivotButton="0" quotePrefix="0" xfId="0">
      <alignment vertical="center" wrapText="1"/>
    </xf>
    <xf numFmtId="3" fontId="2" fillId="2" borderId="0" pivotButton="0" quotePrefix="0" xfId="0"/>
    <xf numFmtId="0" fontId="3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ທຶນເລີ່ມຕົ້ນ 40 ລ້ານ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'40 ລ້ານ ໄປໃສ'!$A$4:$A$10</f>
            </numRef>
          </cat>
          <val>
            <numRef>
              <f>'40 ລ້ານ ໄປໃສ'!$B$4:$B$10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ລາຍຮັບ ທຽບ ລາຍຈ່າຍ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'ກຳໄລ-ຂາດທຶນ'!A6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'ກຳໄລ-ຂາດທຶນ'!$B$3:$F$3</f>
            </numRef>
          </cat>
          <val>
            <numRef>
              <f>'ກຳໄລ-ຂາດທຶນ'!$B$6:$F$6</f>
            </numRef>
          </val>
        </ser>
        <ser>
          <idx val="1"/>
          <order val="1"/>
          <tx>
            <strRef>
              <f>'ກຳໄລ-ຂາດທຶນ'!A7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'ກຳໄລ-ຂາດທຶນ'!$B$3:$F$3</f>
            </numRef>
          </cat>
          <val>
            <numRef>
              <f>'ກຳໄລ-ຂາດທຶນ'!$B$7:$F$7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ກີບ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schematichq.com/blog/supabase-pricing" TargetMode="External" Id="rId1"/><Relationship Type="http://schemas.openxmlformats.org/officeDocument/2006/relationships/hyperlink" Target="https://www.valutafx.com/history/usd-lak-2026-07-31" TargetMode="External" Id="rId2"/><Relationship Type="http://schemas.openxmlformats.org/officeDocument/2006/relationships/hyperlink" Target="https://payatlas.com/countries/lao-peoples-democratic-republic-la" TargetMode="External" Id="rId3"/><Relationship Type="http://schemas.openxmlformats.org/officeDocument/2006/relationships/hyperlink" Target="https://loca.la/locapay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55" customWidth="1" min="4" max="4"/>
  </cols>
  <sheetData>
    <row r="1">
      <c r="A1" s="1" t="inlineStr">
        <is>
          <t>ທຶນເລີ່ມຕົ້ນ 40 ລ້ານກີບ ໃຊ້ເຮັດຫຍັງ</t>
        </is>
      </c>
    </row>
    <row r="3">
      <c r="A3" s="2" t="inlineStr">
        <is>
          <t>ລາຍການ</t>
        </is>
      </c>
      <c r="B3" s="2" t="inlineStr">
        <is>
          <t>ກີບ</t>
        </is>
      </c>
      <c r="C3" s="2" t="inlineStr">
        <is>
          <t>ສ່ວນແບ່ງ</t>
        </is>
      </c>
      <c r="D3" s="2" t="inlineStr">
        <is>
          <t>ເງິນໃຊ້ເຮັດຫຍັງ</t>
        </is>
      </c>
    </row>
    <row r="4">
      <c r="A4" s="3">
        <f>'ລາຍຈ່າຍ'!A4</f>
        <v/>
      </c>
      <c r="B4" s="4">
        <f>'ລາຍຈ່າຍ'!I4</f>
        <v/>
      </c>
      <c r="C4" s="5">
        <f>B4/$B$11</f>
        <v/>
      </c>
      <c r="D4" s="6">
        <f>'ລາຍຈ່າຍ'!O4</f>
        <v/>
      </c>
    </row>
    <row r="5">
      <c r="A5" s="3">
        <f>'ລາຍຈ່າຍ'!A5</f>
        <v/>
      </c>
      <c r="B5" s="4">
        <f>'ລາຍຈ່າຍ'!I5</f>
        <v/>
      </c>
      <c r="C5" s="5">
        <f>B5/$B$11</f>
        <v/>
      </c>
      <c r="D5" s="6">
        <f>'ລາຍຈ່າຍ'!O5</f>
        <v/>
      </c>
    </row>
    <row r="6">
      <c r="A6" s="3">
        <f>'ລາຍຈ່າຍ'!A6</f>
        <v/>
      </c>
      <c r="B6" s="4">
        <f>'ລາຍຈ່າຍ'!I6</f>
        <v/>
      </c>
      <c r="C6" s="5">
        <f>B6/$B$11</f>
        <v/>
      </c>
      <c r="D6" s="6">
        <f>'ລາຍຈ່າຍ'!O6</f>
        <v/>
      </c>
    </row>
    <row r="7">
      <c r="A7" s="3">
        <f>'ລາຍຈ່າຍ'!A7</f>
        <v/>
      </c>
      <c r="B7" s="4">
        <f>'ລາຍຈ່າຍ'!I7</f>
        <v/>
      </c>
      <c r="C7" s="5">
        <f>B7/$B$11</f>
        <v/>
      </c>
      <c r="D7" s="6">
        <f>'ລາຍຈ່າຍ'!O7</f>
        <v/>
      </c>
    </row>
    <row r="8">
      <c r="A8" s="3">
        <f>'ລາຍຈ່າຍ'!A8</f>
        <v/>
      </c>
      <c r="B8" s="4">
        <f>'ລາຍຈ່າຍ'!I8</f>
        <v/>
      </c>
      <c r="C8" s="5">
        <f>B8/$B$11</f>
        <v/>
      </c>
      <c r="D8" s="6">
        <f>'ລາຍຈ່າຍ'!O8</f>
        <v/>
      </c>
    </row>
    <row r="9">
      <c r="A9" s="3">
        <f>'ລາຍຈ່າຍ'!A10</f>
        <v/>
      </c>
      <c r="B9" s="4">
        <f>'ລາຍຈ່າຍ'!I10</f>
        <v/>
      </c>
      <c r="C9" s="5">
        <f>B9/$B$11</f>
        <v/>
      </c>
      <c r="D9" s="6">
        <f>'ລາຍຈ່າຍ'!O10</f>
        <v/>
      </c>
    </row>
    <row r="10">
      <c r="A10" s="7" t="inlineStr">
        <is>
          <t>ເງິນກັນໄວ້ ລໍຖ້າລາຍຮັບ (ໄຕ 2–3)</t>
        </is>
      </c>
      <c r="B10" s="8">
        <f>'ສົມມຸດຕິຖານ'!B8-SUM(B4:B9)</f>
        <v/>
      </c>
      <c r="C10" s="5">
        <f>B10/$B$11</f>
        <v/>
      </c>
      <c r="D10" s="6" t="inlineStr">
        <is>
          <t>ຈ່າຍຄ່າຂາດທຶນ ໄຕ 2 ຈົນລາຍຮັບເກີນລາຍຈ່າຍ (ເບິ່ງແຜ່ນ ກຳໄລ-ຂາດທຶນ)</t>
        </is>
      </c>
    </row>
    <row r="11">
      <c r="A11" s="7" t="inlineStr">
        <is>
          <t>ລວມ ທຶນເລີ່ມຕົ້ນ</t>
        </is>
      </c>
      <c r="B11" s="9">
        <f>SUM(B4:B10)</f>
        <v/>
      </c>
      <c r="C11" s="10">
        <f>SUM(C4:C10)</f>
        <v/>
      </c>
    </row>
    <row r="13">
      <c r="A13" s="11" t="inlineStr">
        <is>
          <t>ປ່ຽນລາຄາ ຫຼື ຈຳນວນ ໃນແຜ່ນ "ລາຍຈ່າຍ" ແລະ "ສົມມຸດຕິຖານ" (ຊ່ອງສີເຫຼືອງ) ແລ້ວຕົວເລກທຸກແຜ່ນຈະປ່ຽນເອງ.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Phalom · ສົມມຸດຕິຖານ (ປ່ຽນໄດ້ ໃນຊ່ອງສີເຫຼືອງ)</t>
        </is>
      </c>
    </row>
    <row r="3">
      <c r="A3" s="3" t="inlineStr">
        <is>
          <t>ຍອດຂາຍ ຕໍ່ຮ້ານ ຕໍ່ເດືອນ (ກີບ)</t>
        </is>
      </c>
      <c r="B3" s="12" t="n">
        <v>9000000</v>
      </c>
    </row>
    <row r="4">
      <c r="A4" s="3" t="inlineStr">
        <is>
          <t>ຄ່າທຳນຽມທະນາຄານ / PhaJay</t>
        </is>
      </c>
      <c r="B4" s="13" t="n">
        <v>0.015</v>
      </c>
    </row>
    <row r="5">
      <c r="A5" s="3" t="inlineStr">
        <is>
          <t>ສ່ວນແບ່ງທີ່ທີມໄດ້</t>
        </is>
      </c>
      <c r="B5" s="14" t="n">
        <v>0.3</v>
      </c>
    </row>
    <row r="6">
      <c r="A6" s="3" t="inlineStr">
        <is>
          <t>ລາຍໄດ້ທີມ ຕໍ່ຮ້ານ ຕໍ່ເດືອນ (ກີບ)</t>
        </is>
      </c>
      <c r="B6" s="15">
        <f>B3*B4*B5</f>
        <v/>
      </c>
    </row>
    <row r="7">
      <c r="A7" s="3" t="inlineStr">
        <is>
          <t>ເງິນສຳຮອງ (ຂອງລາຍຈ່າຍ)</t>
        </is>
      </c>
      <c r="B7" s="14" t="n">
        <v>0.1</v>
      </c>
    </row>
    <row r="8">
      <c r="A8" s="3" t="inlineStr">
        <is>
          <t>ທຶນເລີ່ມຕົ້ນ (ກີບ)</t>
        </is>
      </c>
      <c r="B8" s="12" t="n">
        <v>40000000</v>
      </c>
    </row>
    <row r="10">
      <c r="A10" s="7" t="inlineStr">
        <is>
          <t>ເປົ້າຈຳນວນຮ້ານ (ທ້າຍໄຕມາດ)</t>
        </is>
      </c>
    </row>
    <row r="11">
      <c r="B11" s="2" t="inlineStr">
        <is>
          <t>ໄຕມາດ 1</t>
        </is>
      </c>
      <c r="C11" s="2" t="inlineStr">
        <is>
          <t>ໄຕມາດ 2</t>
        </is>
      </c>
      <c r="D11" s="2" t="inlineStr">
        <is>
          <t>ໄຕມາດ 3</t>
        </is>
      </c>
      <c r="E11" s="2" t="inlineStr">
        <is>
          <t>ໄຕມາດ 4</t>
        </is>
      </c>
      <c r="F11" s="2" t="inlineStr">
        <is>
          <t>ໄຕມາດ 5 (ປີ 2)</t>
        </is>
      </c>
    </row>
    <row r="12">
      <c r="A12" s="3" t="inlineStr">
        <is>
          <t>ຈຳນວນຮ້ານ</t>
        </is>
      </c>
      <c r="B12" s="16" t="n">
        <v>100</v>
      </c>
      <c r="C12" s="16" t="n">
        <v>250</v>
      </c>
      <c r="D12" s="16" t="n">
        <v>400</v>
      </c>
      <c r="E12" s="16" t="n">
        <v>700</v>
      </c>
      <c r="F12" s="16" t="n">
        <v>850</v>
      </c>
    </row>
    <row r="13">
      <c r="A13" s="3" t="inlineStr">
        <is>
          <t>ຮ້ານໃໝ່ ໃນໄຕມາດ</t>
        </is>
      </c>
      <c r="B13" s="3">
        <f>B12</f>
        <v/>
      </c>
      <c r="C13" s="3">
        <f>C12-B12</f>
        <v/>
      </c>
      <c r="D13" s="3">
        <f>D12-C12</f>
        <v/>
      </c>
      <c r="E13" s="3">
        <f>E12-D12</f>
        <v/>
      </c>
      <c r="F13" s="3">
        <f>F12-E12</f>
        <v/>
      </c>
    </row>
    <row r="14">
      <c r="A14" s="3" t="inlineStr">
        <is>
          <t>ເມືອງ</t>
        </is>
      </c>
      <c r="B14" s="6" t="inlineStr">
        <is>
          <t>ວຽງຈັນ</t>
        </is>
      </c>
      <c r="C14" s="6" t="inlineStr">
        <is>
          <t>ວຽງຈັນ</t>
        </is>
      </c>
      <c r="D14" s="6" t="inlineStr">
        <is>
          <t>+ ຫຼວງພະບາງ, ວັງວຽງ</t>
        </is>
      </c>
      <c r="E14" s="6" t="inlineStr">
        <is>
          <t>3 ເຂດ</t>
        </is>
      </c>
      <c r="F14" s="6" t="inlineStr">
        <is>
          <t>3 ເຂດ</t>
        </is>
      </c>
    </row>
    <row r="16">
      <c r="A16" s="11" t="inlineStr">
        <is>
          <t>ໝາຍເຫດ: ທີມຊວນຮ້ານເອງ ແລະ ໃຊ້ມືຖືຂອງທີມ (ບໍ່ມີຄ່າພະນັກງານ). ປີທຳອິດບໍ່ຈ່າຍເງິນເດືອນທີມ. ທີມບໍ່ຖືເງິນຂອງແມ່ຄ້າ. ຕົວເລກທັງໝົດແມ່ນການຄາດຄະເນຂອງທີມ ຈະກວດຄືນຕອນທົດລອງ.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</cols>
  <sheetData>
    <row r="1">
      <c r="A1" s="1" t="inlineStr">
        <is>
          <t>ລາຍຈ່າຍ ລາຍລະອຽດ (ກີບ)</t>
        </is>
      </c>
    </row>
    <row r="3" ht="36" customHeight="1">
      <c r="A3" s="17" t="inlineStr">
        <is>
          <t>ລາຍການ</t>
        </is>
      </c>
      <c r="B3" s="17" t="inlineStr">
        <is>
          <t>ລາຄາຕໍ່ໜ່ວຍ</t>
        </is>
      </c>
      <c r="C3" s="17" t="inlineStr">
        <is>
          <t>ຫົວໜ່ວຍ</t>
        </is>
      </c>
      <c r="D3" s="17" t="inlineStr">
        <is>
          <t>ຈຳນວນ ໄຕມາດ 1</t>
        </is>
      </c>
      <c r="E3" s="17" t="inlineStr">
        <is>
          <t>ຈຳນວນ ໄຕມາດ 2</t>
        </is>
      </c>
      <c r="F3" s="17" t="inlineStr">
        <is>
          <t>ຈຳນວນ ໄຕມາດ 3</t>
        </is>
      </c>
      <c r="G3" s="17" t="inlineStr">
        <is>
          <t>ຈຳນວນ ໄຕມາດ 4</t>
        </is>
      </c>
      <c r="H3" s="17" t="inlineStr">
        <is>
          <t>ຈຳນວນ ໄຕມາດ 5</t>
        </is>
      </c>
      <c r="I3" s="17" t="inlineStr">
        <is>
          <t>ໄຕມາດ 1</t>
        </is>
      </c>
      <c r="J3" s="17" t="inlineStr">
        <is>
          <t>ໄຕມາດ 2</t>
        </is>
      </c>
      <c r="K3" s="17" t="inlineStr">
        <is>
          <t>ໄຕມາດ 3</t>
        </is>
      </c>
      <c r="L3" s="17" t="inlineStr">
        <is>
          <t>ໄຕມາດ 4</t>
        </is>
      </c>
      <c r="M3" s="17" t="inlineStr">
        <is>
          <t>ໄຕມາດ 5</t>
        </is>
      </c>
      <c r="N3" s="17" t="inlineStr">
        <is>
          <t>ລວມ 5 ໄຕມາດ</t>
        </is>
      </c>
      <c r="O3" s="17" t="inlineStr">
        <is>
          <t>ເງິນໃຊ້ເຮັດຫຍັງ / ແຫຼ່ງລາຄາ</t>
        </is>
      </c>
    </row>
    <row r="4">
      <c r="A4" s="3" t="inlineStr">
        <is>
          <t>ແພັກຮ້ານ: ປ້າຍ QR + ສະຕິກເກີ + ບັດເມນູ</t>
        </is>
      </c>
      <c r="B4" s="18" t="n">
        <v>60000</v>
      </c>
      <c r="C4" s="6" t="inlineStr">
        <is>
          <t>ຮ້ານໃໝ່</t>
        </is>
      </c>
      <c r="D4" s="4">
        <f>'ສົມມຸດຕິຖານ'!B13</f>
        <v/>
      </c>
      <c r="E4" s="4">
        <f>'ສົມມຸດຕິຖານ'!C13</f>
        <v/>
      </c>
      <c r="F4" s="4">
        <f>'ສົມມຸດຕິຖານ'!D13</f>
        <v/>
      </c>
      <c r="G4" s="4">
        <f>'ສົມມຸດຕິຖານ'!E13</f>
        <v/>
      </c>
      <c r="H4" s="4">
        <f>'ສົມມຸດຕິຖານ'!F13</f>
        <v/>
      </c>
      <c r="I4" s="4">
        <f>$B4*D4</f>
        <v/>
      </c>
      <c r="J4" s="4">
        <f>$B4*E4</f>
        <v/>
      </c>
      <c r="K4" s="4">
        <f>$B4*F4</f>
        <v/>
      </c>
      <c r="L4" s="4">
        <f>$B4*G4</f>
        <v/>
      </c>
      <c r="M4" s="4">
        <f>$B4*H4</f>
        <v/>
      </c>
      <c r="N4" s="8">
        <f>SUM(I4:M4)</f>
        <v/>
      </c>
      <c r="O4" s="6" t="inlineStr">
        <is>
          <t>ພິມປ້າຍ QR ຕັ້ງໂຕະ + ບັດເມນູແປພາສາ (ທີມຄາດຄະເນ, ຖາມຮ້ານພິມກ່ອນ)</t>
        </is>
      </c>
    </row>
    <row r="5">
      <c r="A5" s="3" t="inlineStr">
        <is>
          <t>ເຊີເວີ ແລະ ລະບົບ (Supabase, Cloudflare, ໂດເມນ, SMS)</t>
        </is>
      </c>
      <c r="B5" s="18" t="n">
        <v>1000000</v>
      </c>
      <c r="C5" s="6" t="inlineStr">
        <is>
          <t>ເດືອນ</t>
        </is>
      </c>
      <c r="D5" s="18" t="n">
        <v>3</v>
      </c>
      <c r="E5" s="18" t="n">
        <v>3</v>
      </c>
      <c r="F5" s="18" t="n">
        <v>3</v>
      </c>
      <c r="G5" s="18" t="n">
        <v>3</v>
      </c>
      <c r="H5" s="18" t="n">
        <v>3</v>
      </c>
      <c r="I5" s="4">
        <f>$B5*D5</f>
        <v/>
      </c>
      <c r="J5" s="4">
        <f>$B5*E5</f>
        <v/>
      </c>
      <c r="K5" s="4">
        <f>$B5*F5</f>
        <v/>
      </c>
      <c r="L5" s="4">
        <f>$B5*G5</f>
        <v/>
      </c>
      <c r="M5" s="4">
        <f>$B5*H5</f>
        <v/>
      </c>
      <c r="N5" s="8">
        <f>SUM(I5:M5)</f>
        <v/>
      </c>
      <c r="O5" s="6" t="inlineStr">
        <is>
          <t>Supabase Pro ~0.56 ລ້ານ + Cloudflare ~0.11 ລ້ານ + SMS/ໂດເມນ ~0.3 ລ້ານ ກີບ/ເດືອນ</t>
        </is>
      </c>
    </row>
    <row r="6">
      <c r="A6" s="3" t="inlineStr">
        <is>
          <t>ໂຄສະນາຫານັກທ່ອງທ່ຽວ (ໂປສເຕີ, ໂຮງແຮມ, ອອນລາຍ)</t>
        </is>
      </c>
      <c r="B6" s="18" t="n">
        <v>1000000</v>
      </c>
      <c r="C6" s="6" t="inlineStr">
        <is>
          <t>ລ້ານກີບ</t>
        </is>
      </c>
      <c r="D6" s="18" t="n">
        <v>4</v>
      </c>
      <c r="E6" s="18" t="n">
        <v>6</v>
      </c>
      <c r="F6" s="18" t="n">
        <v>10</v>
      </c>
      <c r="G6" s="18" t="n">
        <v>10</v>
      </c>
      <c r="H6" s="18" t="n">
        <v>10</v>
      </c>
      <c r="I6" s="4">
        <f>$B6*D6</f>
        <v/>
      </c>
      <c r="J6" s="4">
        <f>$B6*E6</f>
        <v/>
      </c>
      <c r="K6" s="4">
        <f>$B6*F6</f>
        <v/>
      </c>
      <c r="L6" s="4">
        <f>$B6*G6</f>
        <v/>
      </c>
      <c r="M6" s="4">
        <f>$B6*H6</f>
        <v/>
      </c>
      <c r="N6" s="8">
        <f>SUM(I6:M6)</f>
        <v/>
      </c>
      <c r="O6" s="6" t="inlineStr">
        <is>
          <t>ບອກນັກທ່ອງທ່ຽວວ່າຈ່າຍ QR ໄດ້ ຢູ່ຮ້ານໃດ</t>
        </is>
      </c>
    </row>
    <row r="7">
      <c r="A7" s="3" t="inlineStr">
        <is>
          <t>ຈົດທະບຽນ ແລະ ສັນຍາ</t>
        </is>
      </c>
      <c r="B7" s="18" t="n">
        <v>1000000</v>
      </c>
      <c r="C7" s="6" t="inlineStr">
        <is>
          <t>ລ້ານກີບ</t>
        </is>
      </c>
      <c r="D7" s="18" t="n">
        <v>3</v>
      </c>
      <c r="E7" s="18" t="n">
        <v>0</v>
      </c>
      <c r="F7" s="18" t="n">
        <v>2</v>
      </c>
      <c r="G7" s="18" t="n">
        <v>0</v>
      </c>
      <c r="H7" s="18" t="n">
        <v>0</v>
      </c>
      <c r="I7" s="4">
        <f>$B7*D7</f>
        <v/>
      </c>
      <c r="J7" s="4">
        <f>$B7*E7</f>
        <v/>
      </c>
      <c r="K7" s="4">
        <f>$B7*F7</f>
        <v/>
      </c>
      <c r="L7" s="4">
        <f>$B7*G7</f>
        <v/>
      </c>
      <c r="M7" s="4">
        <f>$B7*H7</f>
        <v/>
      </c>
      <c r="N7" s="8">
        <f>SUM(I7:M7)</f>
        <v/>
      </c>
      <c r="O7" s="6" t="inlineStr">
        <is>
          <t>ຈົດທະບຽນບໍລິສັດ, ສັນຍາກັບທະນາຄານ ແລະ PhaJay</t>
        </is>
      </c>
    </row>
    <row r="8">
      <c r="A8" s="3" t="inlineStr">
        <is>
          <t>ເດີນທາງ ແລະ ນ້ຳມັນ</t>
        </is>
      </c>
      <c r="B8" s="18" t="n">
        <v>1000000</v>
      </c>
      <c r="C8" s="6" t="inlineStr">
        <is>
          <t>ລ້ານກີບ</t>
        </is>
      </c>
      <c r="D8" s="18" t="n">
        <v>3</v>
      </c>
      <c r="E8" s="18" t="n">
        <v>3</v>
      </c>
      <c r="F8" s="18" t="n">
        <v>9</v>
      </c>
      <c r="G8" s="18" t="n">
        <v>9</v>
      </c>
      <c r="H8" s="18" t="n">
        <v>9</v>
      </c>
      <c r="I8" s="4">
        <f>$B8*D8</f>
        <v/>
      </c>
      <c r="J8" s="4">
        <f>$B8*E8</f>
        <v/>
      </c>
      <c r="K8" s="4">
        <f>$B8*F8</f>
        <v/>
      </c>
      <c r="L8" s="4">
        <f>$B8*G8</f>
        <v/>
      </c>
      <c r="M8" s="4">
        <f>$B8*H8</f>
        <v/>
      </c>
      <c r="N8" s="8">
        <f>SUM(I8:M8)</f>
        <v/>
      </c>
      <c r="O8" s="6" t="inlineStr">
        <is>
          <t>ລົງຢ້ຽມຮ້ານ, ໄປຫຼວງພະບາງ ແລະ ວັງວຽງ</t>
        </is>
      </c>
    </row>
    <row r="9">
      <c r="A9" s="7" t="inlineStr">
        <is>
          <t>ລວມກ່ອນສຳຮອງ</t>
        </is>
      </c>
      <c r="I9" s="8">
        <f>SUM(I4:I8)</f>
        <v/>
      </c>
      <c r="J9" s="8">
        <f>SUM(J4:J8)</f>
        <v/>
      </c>
      <c r="K9" s="8">
        <f>SUM(K4:K8)</f>
        <v/>
      </c>
      <c r="L9" s="8">
        <f>SUM(L4:L8)</f>
        <v/>
      </c>
      <c r="M9" s="8">
        <f>SUM(M4:M8)</f>
        <v/>
      </c>
      <c r="N9" s="8">
        <f>SUM(N4:N8)</f>
        <v/>
      </c>
    </row>
    <row r="10">
      <c r="A10" s="3" t="inlineStr">
        <is>
          <t>ເງິນສຳຮອງ 10% (ກໍລະນີລາຄາຂຶ້ນ)</t>
        </is>
      </c>
      <c r="I10" s="4">
        <f>I9*'ສົມມຸດຕິຖານ'!$B$7</f>
        <v/>
      </c>
      <c r="J10" s="4">
        <f>J9*'ສົມມຸດຕິຖານ'!$B$7</f>
        <v/>
      </c>
      <c r="K10" s="4">
        <f>K9*'ສົມມຸດຕິຖານ'!$B$7</f>
        <v/>
      </c>
      <c r="L10" s="4">
        <f>L9*'ສົມມຸດຕິຖານ'!$B$7</f>
        <v/>
      </c>
      <c r="M10" s="4">
        <f>M9*'ສົມມຸດຕິຖານ'!$B$7</f>
        <v/>
      </c>
      <c r="N10" s="4">
        <f>N9*'ສົມມຸດຕິຖານ'!$B$7</f>
        <v/>
      </c>
      <c r="O10" s="6" t="inlineStr">
        <is>
          <t>ເງິນກັນໄວ້ ບໍ່ໄດ້ວາງແຜນໃຊ້</t>
        </is>
      </c>
    </row>
    <row r="11">
      <c r="A11" s="7" t="inlineStr">
        <is>
          <t>ລາຍຈ່າຍລວມ</t>
        </is>
      </c>
      <c r="I11" s="9">
        <f>I9+I10</f>
        <v/>
      </c>
      <c r="J11" s="9">
        <f>J9+J10</f>
        <v/>
      </c>
      <c r="K11" s="9">
        <f>K9+K10</f>
        <v/>
      </c>
      <c r="L11" s="9">
        <f>L9+L10</f>
        <v/>
      </c>
      <c r="M11" s="9">
        <f>M9+M10</f>
        <v/>
      </c>
      <c r="N11" s="9">
        <f>N9+N10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ກຳໄລ-ຂາດທຶນ ປີທຳອິດ (ກີບ)</t>
        </is>
      </c>
    </row>
    <row r="3">
      <c r="A3" s="2" t="inlineStr"/>
      <c r="B3" s="2" t="inlineStr">
        <is>
          <t>ໄຕມາດ 1</t>
        </is>
      </c>
      <c r="C3" s="2" t="inlineStr">
        <is>
          <t>ໄຕມາດ 2</t>
        </is>
      </c>
      <c r="D3" s="2" t="inlineStr">
        <is>
          <t>ໄຕມາດ 3</t>
        </is>
      </c>
      <c r="E3" s="2" t="inlineStr">
        <is>
          <t>ໄຕມາດ 4</t>
        </is>
      </c>
      <c r="F3" s="2" t="inlineStr">
        <is>
          <t>ໄຕມາດ 5 (ປີ 2)</t>
        </is>
      </c>
      <c r="G3" s="2" t="inlineStr">
        <is>
          <t>ລວມ ປີ 1 (ໄຕມາດ 1–4)</t>
        </is>
      </c>
    </row>
    <row r="4">
      <c r="A4" s="3" t="inlineStr">
        <is>
          <t>ຮ້ານ ທ້າຍໄຕມາດ</t>
        </is>
      </c>
      <c r="B4" s="4">
        <f>'ສົມມຸດຕິຖານ'!B12</f>
        <v/>
      </c>
      <c r="C4" s="4">
        <f>'ສົມມຸດຕິຖານ'!C12</f>
        <v/>
      </c>
      <c r="D4" s="4">
        <f>'ສົມມຸດຕິຖານ'!D12</f>
        <v/>
      </c>
      <c r="E4" s="4">
        <f>'ສົມມຸດຕິຖານ'!E12</f>
        <v/>
      </c>
      <c r="F4" s="4">
        <f>'ສົມມຸດຕິຖານ'!F12</f>
        <v/>
      </c>
      <c r="G4" s="4" t="n"/>
    </row>
    <row r="5">
      <c r="A5" s="3" t="inlineStr">
        <is>
          <t>ຮ້ານສະເລ່ຍ ໃນໄຕມາດ</t>
        </is>
      </c>
      <c r="B5" s="4">
        <f>B4/2</f>
        <v/>
      </c>
      <c r="C5" s="4">
        <f>(B4+C4)/2</f>
        <v/>
      </c>
      <c r="D5" s="4">
        <f>(C4+D4)/2</f>
        <v/>
      </c>
      <c r="E5" s="4">
        <f>(D4+E4)/2</f>
        <v/>
      </c>
      <c r="F5" s="4">
        <f>(E4+F4)/2</f>
        <v/>
      </c>
      <c r="G5" s="4" t="n"/>
    </row>
    <row r="6">
      <c r="A6" s="3" t="inlineStr">
        <is>
          <t>ລາຍຮັບ</t>
        </is>
      </c>
      <c r="B6" s="4">
        <f>B5*3*'ສົມມຸດຕິຖານ'!$B$6</f>
        <v/>
      </c>
      <c r="C6" s="4">
        <f>C5*3*'ສົມມຸດຕິຖານ'!$B$6</f>
        <v/>
      </c>
      <c r="D6" s="4">
        <f>D5*3*'ສົມມຸດຕິຖານ'!$B$6</f>
        <v/>
      </c>
      <c r="E6" s="4">
        <f>E5*3*'ສົມມຸດຕິຖານ'!$B$6</f>
        <v/>
      </c>
      <c r="F6" s="4">
        <f>F5*3*'ສົມມຸດຕິຖານ'!$B$6</f>
        <v/>
      </c>
      <c r="G6" s="4">
        <f>SUM(B6:E6)</f>
        <v/>
      </c>
    </row>
    <row r="7">
      <c r="A7" s="3" t="inlineStr">
        <is>
          <t>ລາຍຈ່າຍ</t>
        </is>
      </c>
      <c r="B7" s="4">
        <f>'ລາຍຈ່າຍ'!I11</f>
        <v/>
      </c>
      <c r="C7" s="4">
        <f>'ລາຍຈ່າຍ'!J11</f>
        <v/>
      </c>
      <c r="D7" s="4">
        <f>'ລາຍຈ່າຍ'!K11</f>
        <v/>
      </c>
      <c r="E7" s="4">
        <f>'ລາຍຈ່າຍ'!L11</f>
        <v/>
      </c>
      <c r="F7" s="4">
        <f>'ລາຍຈ່າຍ'!M11</f>
        <v/>
      </c>
      <c r="G7" s="4">
        <f>SUM(B7:E7)</f>
        <v/>
      </c>
    </row>
    <row r="8">
      <c r="A8" s="7" t="inlineStr">
        <is>
          <t>ກຳໄລ / ຂາດທຶນ</t>
        </is>
      </c>
      <c r="B8" s="9">
        <f>B6-B7</f>
        <v/>
      </c>
      <c r="C8" s="9">
        <f>C6-C7</f>
        <v/>
      </c>
      <c r="D8" s="9">
        <f>D6-D7</f>
        <v/>
      </c>
      <c r="E8" s="9">
        <f>E6-E7</f>
        <v/>
      </c>
      <c r="F8" s="9">
        <f>F6-F7</f>
        <v/>
      </c>
      <c r="G8" s="9">
        <f>SUM(B8:E8)</f>
        <v/>
      </c>
    </row>
    <row r="9">
      <c r="A9" s="7" t="inlineStr">
        <is>
          <t>ກຳໄລ/ຂາດທຶນ ສະສົມ</t>
        </is>
      </c>
      <c r="B9" s="8">
        <f>B8</f>
        <v/>
      </c>
      <c r="C9" s="8">
        <f>B9+C8</f>
        <v/>
      </c>
      <c r="D9" s="8">
        <f>C9+D8</f>
        <v/>
      </c>
      <c r="E9" s="8">
        <f>D9+E8</f>
        <v/>
      </c>
      <c r="F9" s="8">
        <f>E9+F8</f>
        <v/>
      </c>
      <c r="G9" s="8" t="n"/>
    </row>
    <row r="10">
      <c r="A10" s="7" t="inlineStr">
        <is>
          <t>ເງິນທຶນເຫຼືອ (40 ລ້ານ + ສະສົມ)</t>
        </is>
      </c>
      <c r="B10" s="8">
        <f>'ສົມມຸດຕິຖານ'!$B$8+B9</f>
        <v/>
      </c>
      <c r="C10" s="8">
        <f>'ສົມມຸດຕິຖານ'!$B$8+C9</f>
        <v/>
      </c>
      <c r="D10" s="8">
        <f>'ສົມມຸດຕິຖານ'!$B$8+D9</f>
        <v/>
      </c>
      <c r="E10" s="8">
        <f>'ສົມມຸດຕິຖານ'!$B$8+E9</f>
        <v/>
      </c>
      <c r="F10" s="8">
        <f>'ສົມມຸດຕິຖານ'!$B$8+F9</f>
        <v/>
      </c>
      <c r="G10" s="8" t="n"/>
    </row>
    <row r="12">
      <c r="A12" s="7" t="inlineStr">
        <is>
          <t>ໄຕມາດທຳອິດທີ່ ລາຍຮັບ &gt; ລາຍຈ່າຍ</t>
        </is>
      </c>
      <c r="B12" s="19">
        <f>IF(B6&gt;B7,"ໄຕມາດ 1",IF(C6&gt;C7,"ໄຕມາດ 2",IF(D6&gt;D7,"ໄຕມາດ 3",IF(E6&gt;E7,"ໄຕມາດ 4",IF(F6&gt;F7,"ໄຕມາດ 5","ຫຼັງໄຕມາດ 5")))))</f>
        <v/>
      </c>
    </row>
    <row r="13">
      <c r="A13" s="7" t="inlineStr">
        <is>
          <t>ຂາດທຶນສະສົມສູງສຸດ (ເງິນທີ່ຕ້ອງມີ)</t>
        </is>
      </c>
      <c r="B13" s="9">
        <f>-MIN(B9:F9)</f>
        <v/>
      </c>
    </row>
    <row r="14">
      <c r="A14" s="11" t="inlineStr">
        <is>
          <t>ລາຍຮັບ = ຮ້ານສະເລ່ຍ × 3 ເດືອນ × 40,500 ກີບ · ລາຍຈ່າຍ = ຄ່າເປີດຮ້ານໃໝ່ + ຄ່າດຳເນີນງານ + 10% ສຳຮອງ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60" customWidth="1" min="2" max="2"/>
  </cols>
  <sheetData>
    <row r="1">
      <c r="A1" s="1" t="inlineStr">
        <is>
          <t>ແຫຼ່ງລາຄາ (ກວດ 14/10/2026)</t>
        </is>
      </c>
    </row>
    <row r="3">
      <c r="A3" s="3" t="inlineStr">
        <is>
          <t>Supabase Pro 25 ໂດລາ/ເດືອນ ≈ 0.56 ລ້ານກີບ</t>
        </is>
      </c>
      <c r="B3" s="20" t="inlineStr">
        <is>
          <t>https://schematichq.com/blog/supabase-pricing</t>
        </is>
      </c>
    </row>
    <row r="4">
      <c r="A4" s="3" t="inlineStr">
        <is>
          <t>ອັດຕາແລກປ່ຽນ 1 ໂດລາ ≈ 22,578 ກີບ (31/07/2026)</t>
        </is>
      </c>
      <c r="B4" s="20" t="inlineStr">
        <is>
          <t>https://www.valutafx.com/history/usd-lak-2026-07-31</t>
        </is>
      </c>
    </row>
    <row r="5">
      <c r="A5" s="3" t="inlineStr">
        <is>
          <t>ຄ່າທຳນຽມຮັບເງິນໃນລາວ ທົ່ວໄປ 2.5–4% (ເຮົາໃຊ້ 1.5% ແບບລະມັດລະວັງ)</t>
        </is>
      </c>
      <c r="B5" s="20" t="inlineStr">
        <is>
          <t>https://payatlas.com/countries/lao-peoples-democratic-republic-la</t>
        </is>
      </c>
    </row>
    <row r="6">
      <c r="A6" s="3" t="inlineStr">
        <is>
          <t>LOCA Pay: 3% + 5,000 ກີບ ຕໍ່ຄັ້ງ</t>
        </is>
      </c>
      <c r="B6" s="20" t="inlineStr">
        <is>
          <t>https://loca.la/locapay/</t>
        </is>
      </c>
    </row>
    <row r="9">
      <c r="A9" s="11" t="inlineStr">
        <is>
          <t>ລາຄາອື່ນ (ປ້າຍ QR, ໂຄສະນາ, ຈົດທະບຽນ, ເດີນທາງ) ແມ່ນທີມຄາດຄະເນ — ຖາມລາຄາຈິງກ່ອນນຳສະເໜີ.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2026-10-14T20:05:50Z</dcterms:created>
  <dcterms:modified xmlns:dcterms="http://purl.org/dc/terms/" xmlns:xsi="http://www.w3.org/2001/XMLSchema-instance" xsi:type="dcterms:W3CDTF">2026-10-14T20:05:50Z</dcterms:modified>
</cp:coreProperties>
</file>